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unio\Desktop\UGEL - OTUCO\PTRIMONIO\"/>
    </mc:Choice>
  </mc:AlternateContent>
  <xr:revisionPtr revIDLastSave="0" documentId="13_ncr:1_{0774E53E-8C80-49BA-83ED-65A620E8970F}" xr6:coauthVersionLast="47" xr6:coauthVersionMax="47" xr10:uidLastSave="{00000000-0000-0000-0000-000000000000}"/>
  <bookViews>
    <workbookView xWindow="9960" yWindow="240" windowWidth="28185" windowHeight="20355" xr2:uid="{00000000-000D-0000-FFFF-FFFF00000000}"/>
  </bookViews>
  <sheets>
    <sheet name="DATA" sheetId="2" r:id="rId1"/>
  </sheets>
  <definedNames>
    <definedName name="_xlnm._FilterDatabase" localSheetId="0" hidden="1">DATA!$A$5:$J$64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3" i="2" l="1"/>
  <c r="A14" i="2" s="1"/>
  <c r="A11" i="2"/>
  <c r="A12" i="2" s="1"/>
</calcChain>
</file>

<file path=xl/sharedStrings.xml><?xml version="1.0" encoding="utf-8"?>
<sst xmlns="http://schemas.openxmlformats.org/spreadsheetml/2006/main" count="310" uniqueCount="217">
  <si>
    <t>NOMBRES Y APELLIDOS</t>
  </si>
  <si>
    <t>CORREO ELECTRONICO</t>
  </si>
  <si>
    <t>DNI</t>
  </si>
  <si>
    <t>CARGO</t>
  </si>
  <si>
    <t>AREA</t>
  </si>
  <si>
    <t>Antony Abanto Chavarri</t>
  </si>
  <si>
    <t>tonyabanto@hotmail.com</t>
  </si>
  <si>
    <t>Especialista en Estadistica</t>
  </si>
  <si>
    <t>AGI</t>
  </si>
  <si>
    <t>CAS</t>
  </si>
  <si>
    <t>Trujillo</t>
  </si>
  <si>
    <t>JULIO ELMER SIFUENTES NICACIO</t>
  </si>
  <si>
    <t>julioniki@hotmail.com</t>
  </si>
  <si>
    <t>ADMINISTRADOR</t>
  </si>
  <si>
    <t>AGA</t>
  </si>
  <si>
    <t>Roger Jaime Ilquimiche Sandoval</t>
  </si>
  <si>
    <t>aries_ugel_o@hotmail.com</t>
  </si>
  <si>
    <t>TEC. ADMINISTRATIVO I</t>
  </si>
  <si>
    <t>CACERES 649 OTUZCO</t>
  </si>
  <si>
    <t>LUIS JAVIER COLLANTES SILVA</t>
  </si>
  <si>
    <t>LJCOLLANTESS@GMAIL.COM</t>
  </si>
  <si>
    <t>Director de Sistema Administrativo - AGI</t>
  </si>
  <si>
    <t>DL 1024</t>
  </si>
  <si>
    <t>TRUJILLO</t>
  </si>
  <si>
    <t>PAQUITA ARACELY URIOL QUICATE</t>
  </si>
  <si>
    <t>paquitauriol@gmail.com</t>
  </si>
  <si>
    <t>secretaria del Area de Gestión Pedagógica</t>
  </si>
  <si>
    <t>AGP</t>
  </si>
  <si>
    <t>Mza. S Lte 2 Urb. El Paraíso Moche</t>
  </si>
  <si>
    <t>WILMER HENRY REYES LAZARO</t>
  </si>
  <si>
    <t>w.reyeslazaro@gmail.com</t>
  </si>
  <si>
    <t>ESPECIALISTA EN CONTROL PATRIMONIAL</t>
  </si>
  <si>
    <t>OTUZCO</t>
  </si>
  <si>
    <t>CARMEN JESÚS SOSA IMAN</t>
  </si>
  <si>
    <t>carmenjsi25@gmail.com</t>
  </si>
  <si>
    <t>ESPECIALISTA ADMINISTRATIVO I</t>
  </si>
  <si>
    <t>LIMA</t>
  </si>
  <si>
    <t>JOSE EDILBERTO GUTIERREZ AGUILAR</t>
  </si>
  <si>
    <t>nocuentoconcorreoinstitucional@hotmail.com</t>
  </si>
  <si>
    <t>PLANIFICADOR</t>
  </si>
  <si>
    <t>BENERANDO VIDAL BACILIO SOLANO</t>
  </si>
  <si>
    <t>racionalizacionugelotuzco@gmail.com</t>
  </si>
  <si>
    <t>ESPECIALISTA EN RACIONALIZACION</t>
  </si>
  <si>
    <t>MIGUEL CLEMENTE ALAYO SANEZ</t>
  </si>
  <si>
    <t>alasan1210@hotmail.com</t>
  </si>
  <si>
    <t>PROGRAMADOR OPERADOR PAD</t>
  </si>
  <si>
    <t>HUAMACHUCO</t>
  </si>
  <si>
    <t>BRYAN ARNOLD ESCOBAR CASTILLO</t>
  </si>
  <si>
    <t>bryanescas@gmail.com</t>
  </si>
  <si>
    <t xml:space="preserve">ESPECIALISTA EN FINANZAS </t>
  </si>
  <si>
    <t>IVAN HENRY VARGAS ZAVALETA</t>
  </si>
  <si>
    <t>ivhen_zavaleta@hotmail.com</t>
  </si>
  <si>
    <t>Especialista de educación secundaria área Ciencia y tecnología</t>
  </si>
  <si>
    <t>Ley 29944</t>
  </si>
  <si>
    <t>SILVIA EMILIA TOLENTINO AGUILAR</t>
  </si>
  <si>
    <t>setasch@gmail.com</t>
  </si>
  <si>
    <t>COOORDINADORA SAEE</t>
  </si>
  <si>
    <t>INGRIE STEFHANY MENDEZ REYES</t>
  </si>
  <si>
    <t>ingriemendezreyes@gmail.com</t>
  </si>
  <si>
    <t>Psicologa III Itinerante del Equipo de Convivencia Escolar</t>
  </si>
  <si>
    <t>Madeleine Real Paredes</t>
  </si>
  <si>
    <t>madeleinemilagrosrealparedes@gmail.com</t>
  </si>
  <si>
    <t>JEFA DEL AREA DE GESTIÓN PEDAGÓGICA</t>
  </si>
  <si>
    <t xml:space="preserve">LEY 29944 </t>
  </si>
  <si>
    <t xml:space="preserve">OTUZCO </t>
  </si>
  <si>
    <t>LUCIA MIRIAN BARRUETO POMA</t>
  </si>
  <si>
    <t>mirianbarrueto7@gmail.com</t>
  </si>
  <si>
    <t>SECRETARIA - OCI</t>
  </si>
  <si>
    <t>AREA DE DIRECCIÓN</t>
  </si>
  <si>
    <t>AV. TRUJILLO N° 290-298</t>
  </si>
  <si>
    <t xml:space="preserve">Flor Lyli Amasifuen Cueva </t>
  </si>
  <si>
    <t>florlyliotuzco@gmail.com</t>
  </si>
  <si>
    <t xml:space="preserve">Especialista </t>
  </si>
  <si>
    <t xml:space="preserve">Designado </t>
  </si>
  <si>
    <t>Av Trujillo N 268</t>
  </si>
  <si>
    <t xml:space="preserve">Lourdes Mariela Céspedes Gallo </t>
  </si>
  <si>
    <t>lmarielacega.64@gmail.com</t>
  </si>
  <si>
    <t xml:space="preserve">Especialista de Inicial </t>
  </si>
  <si>
    <t xml:space="preserve">Designada </t>
  </si>
  <si>
    <t xml:space="preserve">Cáceres 337 OTUZCO </t>
  </si>
  <si>
    <t>BRAJHAN RUDY YBAÑEZ QUIPUSCOA</t>
  </si>
  <si>
    <t>BRAYANYE76@GMAIL.COM</t>
  </si>
  <si>
    <t>ALMACEN</t>
  </si>
  <si>
    <t>CRISTIAN JUNNIOR GONZALES VASQUEZ</t>
  </si>
  <si>
    <t>crisjunnior@gmail.com</t>
  </si>
  <si>
    <t xml:space="preserve">Especialista de Convivencia Escolar Ugel </t>
  </si>
  <si>
    <t xml:space="preserve">Dalia Karina flores Pinedo </t>
  </si>
  <si>
    <t>dalia011079@gmail.com</t>
  </si>
  <si>
    <t xml:space="preserve">Coordinadora </t>
  </si>
  <si>
    <t xml:space="preserve">Nombrada </t>
  </si>
  <si>
    <t xml:space="preserve">Trujillo </t>
  </si>
  <si>
    <t xml:space="preserve">Marelin Fiorela Alvarado Díaz </t>
  </si>
  <si>
    <t>marelinfiorelaa@gmail.com</t>
  </si>
  <si>
    <t xml:space="preserve">Profesora Coordinadora </t>
  </si>
  <si>
    <t>Nombrada-Carrera pública magisterial</t>
  </si>
  <si>
    <t>Otuzco</t>
  </si>
  <si>
    <t xml:space="preserve">Ana Isabel Sánchez Juarez </t>
  </si>
  <si>
    <t>anisaju29@gmail.com</t>
  </si>
  <si>
    <t>Coordinadora</t>
  </si>
  <si>
    <t xml:space="preserve">Nombrado </t>
  </si>
  <si>
    <t xml:space="preserve">Urbanización libertad </t>
  </si>
  <si>
    <t>Encargatura</t>
  </si>
  <si>
    <t>Otuzco - Trujillo</t>
  </si>
  <si>
    <t>Rosmery flores rodriguez</t>
  </si>
  <si>
    <t>rosmeri.fr.21@gmail.com</t>
  </si>
  <si>
    <t xml:space="preserve">Coordinacion </t>
  </si>
  <si>
    <t>Nombramiento</t>
  </si>
  <si>
    <t>MARIO ENRIQUE DIAZ HUAMANCHUMO</t>
  </si>
  <si>
    <t>mdiazhuamanchumo@gmail.com</t>
  </si>
  <si>
    <t>CONTADOR</t>
  </si>
  <si>
    <t>JIRON COLON 191 HUANCHACO- TRUJILLO</t>
  </si>
  <si>
    <t>WILLIAN ROGER REYES BEJARANO</t>
  </si>
  <si>
    <t>ugelotuzco@gmail.com</t>
  </si>
  <si>
    <t>TECNICO ADMINISTRATIVO II</t>
  </si>
  <si>
    <t>Verónica Ysabel García Tineo</t>
  </si>
  <si>
    <t>ysab3030@gmail.com</t>
  </si>
  <si>
    <t xml:space="preserve">Docente Coordinadora </t>
  </si>
  <si>
    <t>Olga Liliana García De la cruz</t>
  </si>
  <si>
    <t>lilymate100@gmail.com</t>
  </si>
  <si>
    <t xml:space="preserve">Especialista en educación- Matemática </t>
  </si>
  <si>
    <t xml:space="preserve">Ley de la carrera pública magisterial </t>
  </si>
  <si>
    <t xml:space="preserve">Chimbote </t>
  </si>
  <si>
    <t>Ana Melva Altamirano Bacilio</t>
  </si>
  <si>
    <t>libra_amab@hotmail.com</t>
  </si>
  <si>
    <t>Secretaria</t>
  </si>
  <si>
    <t>SANTOS ESMELDA CARRANZA GAMBOA</t>
  </si>
  <si>
    <t>santosesmeldacarranzagamboa@gmail.com</t>
  </si>
  <si>
    <t>ESPECIALISTA DE EDUCACIÓN PRIMARIA</t>
  </si>
  <si>
    <t>LEY DE REFORMA MAGISTERIAL</t>
  </si>
  <si>
    <t>EDITH MARIBEL ANGULO MORENO</t>
  </si>
  <si>
    <t>aedithmaribel@gmail.com</t>
  </si>
  <si>
    <t>Especialista educación primaria</t>
  </si>
  <si>
    <t>Ley de la Reforma Magisterial</t>
  </si>
  <si>
    <t>ORGEL APOLINAR VARAS ARTEAGA</t>
  </si>
  <si>
    <t>varasorgel1972@gmail.com</t>
  </si>
  <si>
    <t>ESPECIALISTA EDUCACIÓN PRIMARIA</t>
  </si>
  <si>
    <t xml:space="preserve">LEY DE LA REFORMA MAGISTERIAL </t>
  </si>
  <si>
    <t>SANTOS ANTHONY QUILICHE VALDIVIEZO</t>
  </si>
  <si>
    <t>anthonyquilichevaldiviezo@gmail.com</t>
  </si>
  <si>
    <t>VIGILANTE-UGEL</t>
  </si>
  <si>
    <t xml:space="preserve">SALIDA SANCHIQUE </t>
  </si>
  <si>
    <t>Kelvin Eugenio Martínez Lifonso</t>
  </si>
  <si>
    <t>kelvinrap121@gmail.com</t>
  </si>
  <si>
    <t xml:space="preserve">Responsable de Trámite Documentario </t>
  </si>
  <si>
    <t xml:space="preserve">Otuzco </t>
  </si>
  <si>
    <t>Job Confesor Guzmán Rodríguez</t>
  </si>
  <si>
    <t>jobguzmanrodriguez134@gmail.com</t>
  </si>
  <si>
    <t>Especialista de Educación Secundaria</t>
  </si>
  <si>
    <t>Luis Fernando Gil Alayo</t>
  </si>
  <si>
    <t>gilalayoluisfernando@gmail.com</t>
  </si>
  <si>
    <t>Coordinador de la UGEL-OTUZCO</t>
  </si>
  <si>
    <t>DOCENTE-COORDINADOR</t>
  </si>
  <si>
    <t>Pachacutec #134 Vista Alegre - Trujillo</t>
  </si>
  <si>
    <t>NOLBERTO EDUAR ANGULO CHAVEZ</t>
  </si>
  <si>
    <t>neach@hotmail.com</t>
  </si>
  <si>
    <t>TRABAJADOR DE SERVICIO II</t>
  </si>
  <si>
    <t>PJE. LOS LIBERTADORES N° 315 -OTUZCO</t>
  </si>
  <si>
    <t xml:space="preserve">DAGOBERTO JUVENALROMERO GUZMAN </t>
  </si>
  <si>
    <t>juro_60@hotmail.com</t>
  </si>
  <si>
    <t>SECRETARIO AGA</t>
  </si>
  <si>
    <t>CALLE: SANTA ROSA Nº 930 OTUZCO</t>
  </si>
  <si>
    <t>CEVELINDA RENEE ALVARADO MERINO</t>
  </si>
  <si>
    <t>cevelinda.rene62@gmail.com</t>
  </si>
  <si>
    <t>SECRETARIA</t>
  </si>
  <si>
    <t>ROSEMARIE EMPERATRIZ RONCAL DÍAZ</t>
  </si>
  <si>
    <t>rosemarieroncal4@gmail.com</t>
  </si>
  <si>
    <t>SECRETARIA TÉCNICA DEL PAD</t>
  </si>
  <si>
    <t>ANDRES LINO AGUILAR ACEVEDO</t>
  </si>
  <si>
    <t>andrestriple-@hotmail.com</t>
  </si>
  <si>
    <t>DIRECTOR</t>
  </si>
  <si>
    <t>ENCARGATURA DE DIRECION</t>
  </si>
  <si>
    <t>DANIEL MALPICA CABRERA</t>
  </si>
  <si>
    <t>daniel_7_96@hotmail.com</t>
  </si>
  <si>
    <t>Apoyo de infraestructura y mantenimiento</t>
  </si>
  <si>
    <t>LOCADOR</t>
  </si>
  <si>
    <t xml:space="preserve">Jefferson Junior Gonzales Moya </t>
  </si>
  <si>
    <t>jeffry.gonzales1moya@gmail.com</t>
  </si>
  <si>
    <t>APOYO AL AREA DE PATRIMONIO.</t>
  </si>
  <si>
    <t>Calle Indepencia N° 719, Otuzco.</t>
  </si>
  <si>
    <t xml:space="preserve">Maritza Jacqueline Corcuera Horna </t>
  </si>
  <si>
    <t>rosario_corcu@hotmail.es</t>
  </si>
  <si>
    <t xml:space="preserve">Especialista pedagógico primaria </t>
  </si>
  <si>
    <t>MARÍA JULIA MERINO ALEGRIA</t>
  </si>
  <si>
    <t>majumerino3@gmail.com</t>
  </si>
  <si>
    <t xml:space="preserve">Especialista en la Oficina de Personal </t>
  </si>
  <si>
    <t>Otuzco y Trujillo</t>
  </si>
  <si>
    <t xml:space="preserve">Jesús Pacheco Angulo </t>
  </si>
  <si>
    <t>jeshosarco@gmail.com</t>
  </si>
  <si>
    <t>Manejo de plataformas digitales (SIAGIE)</t>
  </si>
  <si>
    <t xml:space="preserve">Noni Gisella Díaz Picón </t>
  </si>
  <si>
    <t>gdpmunozabogados@gmail.com</t>
  </si>
  <si>
    <t>Apoyo de la Secretaría Técnica del Servir UGEL-Otuzco</t>
  </si>
  <si>
    <t>MIXI ELIZET ALFARO VALDEZ</t>
  </si>
  <si>
    <t>mixi04alfa1@gmail.com</t>
  </si>
  <si>
    <t>APOYO EN AREA DE PLANILLAS</t>
  </si>
  <si>
    <t>APOYO EN PLANILLAS</t>
  </si>
  <si>
    <t>Johana Katerine Rojas Reyes</t>
  </si>
  <si>
    <t>jhanarojas652@gmail.com</t>
  </si>
  <si>
    <t>Apoyo de Almacen</t>
  </si>
  <si>
    <t>Katherin Evelyn Jáuregui Sánchez</t>
  </si>
  <si>
    <t>evelynjauregui56@gmail.com</t>
  </si>
  <si>
    <t>Apoyo administración</t>
  </si>
  <si>
    <t>Nº</t>
  </si>
  <si>
    <t>CELULAR</t>
  </si>
  <si>
    <t>TIPO.CONTRATO</t>
  </si>
  <si>
    <t>RESIDENCIA</t>
  </si>
  <si>
    <t>FECHA NACIMIENTO</t>
  </si>
  <si>
    <t>ÁREA DE DIRECCIÓN</t>
  </si>
  <si>
    <t>ÁREA DE GESTIÓN INSTITUCIONAL - AGI</t>
  </si>
  <si>
    <t>ÁREA DE GESTIÓN ADMINISTRATIVA - AGA</t>
  </si>
  <si>
    <t>ÁREA DE GESTIÓN PEDAGÓGICA - AGP</t>
  </si>
  <si>
    <t>DIRECTORIO DE LOS SERVIDORES DE LA UGEL OTUZCO 2026</t>
  </si>
  <si>
    <t>ESPECIALISTA EN ABASTECIMIENTO</t>
  </si>
  <si>
    <t>ANGELES CHAVEZ JEANPOOL ALONSO</t>
  </si>
  <si>
    <t>HEYSI JOANA ROMERO DELGADO</t>
  </si>
  <si>
    <t>Asesoria Legal</t>
  </si>
  <si>
    <t>VARGAS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</si>
</sst>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0"/>
      <color rgb="FF000000"/>
      <name val="Arial"/>
      <scheme val="minor"/>
    </font>
    <font>
      <u/>
      <sz val="10"/>
      <color theme="10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24"/>
      <color theme="0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3"/>
      <color theme="1"/>
      <name val="Arial"/>
      <family val="2"/>
      <scheme val="minor"/>
    </font>
    <font>
      <b/>
      <sz val="36"/>
      <name val="Arial"/>
      <family val="2"/>
      <scheme val="minor"/>
    </font>
    <font>
      <b/>
      <sz val="13"/>
      <name val="Arial"/>
      <family val="2"/>
      <scheme val="minor"/>
    </font>
    <font>
      <sz val="12"/>
      <color theme="1"/>
      <name val="Arial"/>
      <family val="2"/>
      <scheme val="minor"/>
    </font>
    <font>
      <u/>
      <sz val="12"/>
      <color theme="10"/>
      <name val="Arial"/>
      <family val="2"/>
      <scheme val="minor"/>
    </font>
    <font>
      <sz val="10"/>
      <color theme="1"/>
      <name val="Arial"/>
      <family val="2"/>
      <scheme val="minor"/>
    </font>
    <font>
      <sz val="12"/>
      <name val="Arial"/>
      <family val="2"/>
      <scheme val="minor"/>
    </font>
    <font>
      <sz val="10"/>
      <name val="Arial"/>
      <family val="2"/>
      <scheme val="minor"/>
    </font>
    <font>
      <sz val="11"/>
      <name val="Arial"/>
      <family val="2"/>
      <scheme val="minor"/>
    </font>
    <font>
      <sz val="12"/>
      <color rgb="FFFF0000"/>
      <name val="Arial"/>
      <family val="2"/>
      <scheme val="minor"/>
    </font>
    <font>
      <b/>
      <sz val="12"/>
      <color theme="5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u/>
      <sz val="12"/>
      <color theme="10"/>
      <name val="Arial"/>
      <family val="2"/>
      <scheme val="minor"/>
    </font>
    <font>
      <b/>
      <sz val="12"/>
      <name val="Arial"/>
      <family val="2"/>
      <scheme val="minor"/>
    </font>
    <font>
      <b/>
      <sz val="14"/>
      <color rgb="FFC00000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rgb="FFF8F9FA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8F9FA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6">
    <xf numFmtId="0" fontId="0" fillId="0" borderId="0" xfId="0"/>
    <xf numFmtId="0" fontId="2" fillId="2" borderId="9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/>
    </xf>
    <xf numFmtId="14" fontId="8" fillId="2" borderId="1" xfId="0" applyNumberFormat="1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14" fontId="11" fillId="2" borderId="1" xfId="0" applyNumberFormat="1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center" vertical="center"/>
    </xf>
    <xf numFmtId="0" fontId="17" fillId="8" borderId="3" xfId="1" applyFont="1" applyFill="1" applyBorder="1" applyAlignment="1">
      <alignment horizontal="center" vertical="center"/>
    </xf>
    <xf numFmtId="0" fontId="16" fillId="8" borderId="15" xfId="0" applyFont="1" applyFill="1" applyBorder="1" applyAlignment="1">
      <alignment horizontal="center" vertical="center" wrapText="1"/>
    </xf>
    <xf numFmtId="14" fontId="4" fillId="8" borderId="1" xfId="0" applyNumberFormat="1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14" fontId="8" fillId="2" borderId="3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/>
    </xf>
    <xf numFmtId="0" fontId="1" fillId="2" borderId="3" xfId="1" applyFill="1" applyBorder="1" applyAlignment="1">
      <alignment horizontal="center" vertical="center"/>
    </xf>
    <xf numFmtId="0" fontId="1" fillId="2" borderId="1" xfId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horizontal="left" vertical="center"/>
    </xf>
    <xf numFmtId="0" fontId="8" fillId="2" borderId="8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8" borderId="3" xfId="0" applyFont="1" applyFill="1" applyBorder="1" applyAlignment="1">
      <alignment horizontal="left" vertical="center"/>
    </xf>
    <xf numFmtId="0" fontId="11" fillId="2" borderId="6" xfId="0" applyFont="1" applyFill="1" applyBorder="1" applyAlignment="1">
      <alignment horizontal="left" vertical="center"/>
    </xf>
    <xf numFmtId="0" fontId="11" fillId="2" borderId="9" xfId="0" applyFont="1" applyFill="1" applyBorder="1" applyAlignment="1">
      <alignment horizontal="left" vertical="center"/>
    </xf>
    <xf numFmtId="0" fontId="11" fillId="2" borderId="8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/>
    </xf>
    <xf numFmtId="0" fontId="8" fillId="2" borderId="9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" fillId="2" borderId="1" xfId="1" applyFill="1" applyBorder="1" applyAlignment="1">
      <alignment horizontal="center" vertical="center" wrapText="1"/>
    </xf>
    <xf numFmtId="0" fontId="1" fillId="0" borderId="1" xfId="1" applyFill="1" applyBorder="1" applyAlignment="1">
      <alignment horizontal="center" vertical="center"/>
    </xf>
    <xf numFmtId="0" fontId="1" fillId="2" borderId="0" xfId="1" applyFill="1" applyBorder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/>
    </xf>
    <xf numFmtId="0" fontId="19" fillId="11" borderId="0" xfId="0" applyFont="1" applyFill="1" applyAlignment="1">
      <alignment horizontal="center" vertical="center"/>
    </xf>
    <xf numFmtId="0" fontId="3" fillId="3" borderId="10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espuestas de formulario 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117022</xdr:colOff>
      <xdr:row>0</xdr:row>
      <xdr:rowOff>85246</xdr:rowOff>
    </xdr:from>
    <xdr:to>
      <xdr:col>1</xdr:col>
      <xdr:colOff>2240562</xdr:colOff>
      <xdr:row>3</xdr:row>
      <xdr:rowOff>113448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84DF81-EDE7-47FC-8516-40EC7A74B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022" y="85246"/>
          <a:ext cx="2722254" cy="599702"/>
        </a:xfrm>
        <a:prstGeom prst="rect">
          <a:avLst/>
        </a:prstGeom>
      </xdr:spPr>
    </xdr:pic>
    <xdr:clientData/>
  </xdr:twoCellAnchor>
  <xdr:twoCellAnchor editAs="oneCell">
    <xdr:from>
      <xdr:col>3</xdr:col>
      <xdr:colOff>478372</xdr:colOff>
      <xdr:row>0</xdr:row>
      <xdr:rowOff>112938</xdr:rowOff>
    </xdr:from>
    <xdr:to>
      <xdr:col>5</xdr:col>
      <xdr:colOff>2388560</xdr:colOff>
      <xdr:row>3</xdr:row>
      <xdr:rowOff>16327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3A4E5F-7802-4E6B-900E-5E6E9D7DC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4693" y="112938"/>
          <a:ext cx="3706331" cy="474889"/>
        </a:xfrm>
        <a:prstGeom prst="rect">
          <a:avLst/>
        </a:prstGeom>
        <a:noFill/>
        <a:ln w="38100">
          <a:solidFill>
            <a:srgbClr val="C55A11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lmarielacega.64@gmail.com" TargetMode="External"/><Relationship Id="rId18" Type="http://schemas.openxmlformats.org/officeDocument/2006/relationships/hyperlink" Target="mailto:paquitauriol@gmail.com" TargetMode="External"/><Relationship Id="rId26" Type="http://schemas.openxmlformats.org/officeDocument/2006/relationships/hyperlink" Target="mailto:nocuentoconcorreoinstitucional@hotmail.com" TargetMode="External"/><Relationship Id="rId39" Type="http://schemas.openxmlformats.org/officeDocument/2006/relationships/hyperlink" Target="mailto:rosemarieroncal4@gmail.com" TargetMode="External"/><Relationship Id="rId21" Type="http://schemas.openxmlformats.org/officeDocument/2006/relationships/hyperlink" Target="mailto:jobguzmanrodriguez134@gmail.com" TargetMode="External"/><Relationship Id="rId34" Type="http://schemas.openxmlformats.org/officeDocument/2006/relationships/hyperlink" Target="mailto:mdiazhuamanchumo@gmail.com" TargetMode="External"/><Relationship Id="rId42" Type="http://schemas.openxmlformats.org/officeDocument/2006/relationships/hyperlink" Target="mailto:gdpmunozabogados@gmail.com" TargetMode="External"/><Relationship Id="rId7" Type="http://schemas.openxmlformats.org/officeDocument/2006/relationships/hyperlink" Target="mailto:ysab3030@gmail.com" TargetMode="External"/><Relationship Id="rId2" Type="http://schemas.openxmlformats.org/officeDocument/2006/relationships/hyperlink" Target="mailto:tonyabanto@hotmail.com" TargetMode="External"/><Relationship Id="rId16" Type="http://schemas.openxmlformats.org/officeDocument/2006/relationships/hyperlink" Target="mailto:setasch@gmail.com" TargetMode="External"/><Relationship Id="rId29" Type="http://schemas.openxmlformats.org/officeDocument/2006/relationships/hyperlink" Target="mailto:aries_ugel_o@hotmail.com" TargetMode="External"/><Relationship Id="rId1" Type="http://schemas.openxmlformats.org/officeDocument/2006/relationships/hyperlink" Target="mailto:kelvinrap121@gmail.com" TargetMode="External"/><Relationship Id="rId6" Type="http://schemas.openxmlformats.org/officeDocument/2006/relationships/hyperlink" Target="mailto:lilymate100@gmail.com" TargetMode="External"/><Relationship Id="rId11" Type="http://schemas.openxmlformats.org/officeDocument/2006/relationships/hyperlink" Target="mailto:dalia011079@gmail.com" TargetMode="External"/><Relationship Id="rId24" Type="http://schemas.openxmlformats.org/officeDocument/2006/relationships/hyperlink" Target="mailto:mirianbarrueto7@gmail.com" TargetMode="External"/><Relationship Id="rId32" Type="http://schemas.openxmlformats.org/officeDocument/2006/relationships/hyperlink" Target="mailto:alasan1210@hotmail.com" TargetMode="External"/><Relationship Id="rId37" Type="http://schemas.openxmlformats.org/officeDocument/2006/relationships/hyperlink" Target="mailto:neach@hotmail.com" TargetMode="External"/><Relationship Id="rId40" Type="http://schemas.openxmlformats.org/officeDocument/2006/relationships/hyperlink" Target="mailto:jeffry.gonzales1moya@gmail.com" TargetMode="External"/><Relationship Id="rId45" Type="http://schemas.openxmlformats.org/officeDocument/2006/relationships/hyperlink" Target="mailto:evelynjauregui56@gmail.com" TargetMode="External"/><Relationship Id="rId5" Type="http://schemas.openxmlformats.org/officeDocument/2006/relationships/hyperlink" Target="mailto:santosesmeldacarranzagamboa@gmail.com" TargetMode="External"/><Relationship Id="rId15" Type="http://schemas.openxmlformats.org/officeDocument/2006/relationships/hyperlink" Target="mailto:florlyliotuzco@gmail.com" TargetMode="External"/><Relationship Id="rId23" Type="http://schemas.openxmlformats.org/officeDocument/2006/relationships/hyperlink" Target="mailto:rosario_corcu@hotmail.es" TargetMode="External"/><Relationship Id="rId28" Type="http://schemas.openxmlformats.org/officeDocument/2006/relationships/hyperlink" Target="mailto:daniel_7_96@hotmail.com" TargetMode="External"/><Relationship Id="rId36" Type="http://schemas.openxmlformats.org/officeDocument/2006/relationships/hyperlink" Target="mailto:anthonyquilichevaldiviezo@gmail.com" TargetMode="External"/><Relationship Id="rId10" Type="http://schemas.openxmlformats.org/officeDocument/2006/relationships/hyperlink" Target="mailto:marelinfiorelaa@gmail.com" TargetMode="External"/><Relationship Id="rId19" Type="http://schemas.openxmlformats.org/officeDocument/2006/relationships/hyperlink" Target="mailto:aedithmaribel@gmail.com" TargetMode="External"/><Relationship Id="rId31" Type="http://schemas.openxmlformats.org/officeDocument/2006/relationships/hyperlink" Target="mailto:carmenjsi25@gmail.com" TargetMode="External"/><Relationship Id="rId44" Type="http://schemas.openxmlformats.org/officeDocument/2006/relationships/hyperlink" Target="mailto:jhanarojas652@gmail.com" TargetMode="External"/><Relationship Id="rId4" Type="http://schemas.openxmlformats.org/officeDocument/2006/relationships/hyperlink" Target="mailto:bryanescas@gmail.com" TargetMode="External"/><Relationship Id="rId9" Type="http://schemas.openxmlformats.org/officeDocument/2006/relationships/hyperlink" Target="mailto:anisaju29@gmail.com" TargetMode="External"/><Relationship Id="rId14" Type="http://schemas.openxmlformats.org/officeDocument/2006/relationships/hyperlink" Target="mailto:ingriemendezreyes@gmail.com" TargetMode="External"/><Relationship Id="rId22" Type="http://schemas.openxmlformats.org/officeDocument/2006/relationships/hyperlink" Target="mailto:gilalayoluisfernando@gmail.com" TargetMode="External"/><Relationship Id="rId27" Type="http://schemas.openxmlformats.org/officeDocument/2006/relationships/hyperlink" Target="mailto:cevelinda.rene62@gmail.com" TargetMode="External"/><Relationship Id="rId30" Type="http://schemas.openxmlformats.org/officeDocument/2006/relationships/hyperlink" Target="mailto:w.reyeslazaro@gmail.com" TargetMode="External"/><Relationship Id="rId35" Type="http://schemas.openxmlformats.org/officeDocument/2006/relationships/hyperlink" Target="mailto:ugelotuzco@gmail.com" TargetMode="External"/><Relationship Id="rId43" Type="http://schemas.openxmlformats.org/officeDocument/2006/relationships/hyperlink" Target="mailto:mixi04alfa1@gmail.com" TargetMode="External"/><Relationship Id="rId8" Type="http://schemas.openxmlformats.org/officeDocument/2006/relationships/hyperlink" Target="mailto:rosmeri.fr.21@gmail.com" TargetMode="External"/><Relationship Id="rId3" Type="http://schemas.openxmlformats.org/officeDocument/2006/relationships/hyperlink" Target="mailto:racionalizacionugelotuzco@gmail.com" TargetMode="External"/><Relationship Id="rId12" Type="http://schemas.openxmlformats.org/officeDocument/2006/relationships/hyperlink" Target="mailto:crisjunnior@gmail.com" TargetMode="External"/><Relationship Id="rId17" Type="http://schemas.openxmlformats.org/officeDocument/2006/relationships/hyperlink" Target="mailto:ivhen_zavaleta@hotmail.com" TargetMode="External"/><Relationship Id="rId25" Type="http://schemas.openxmlformats.org/officeDocument/2006/relationships/hyperlink" Target="mailto:libra_amab@hotmail.com" TargetMode="External"/><Relationship Id="rId33" Type="http://schemas.openxmlformats.org/officeDocument/2006/relationships/hyperlink" Target="mailto:BRAYANYE76@GMAIL.COM" TargetMode="External"/><Relationship Id="rId38" Type="http://schemas.openxmlformats.org/officeDocument/2006/relationships/hyperlink" Target="mailto:juro_60@hotmail.com" TargetMode="External"/><Relationship Id="rId46" Type="http://schemas.openxmlformats.org/officeDocument/2006/relationships/drawing" Target="../drawings/drawing1.xml"/><Relationship Id="rId20" Type="http://schemas.openxmlformats.org/officeDocument/2006/relationships/hyperlink" Target="mailto:varasorgel1972@gmail.com" TargetMode="External"/><Relationship Id="rId41" Type="http://schemas.openxmlformats.org/officeDocument/2006/relationships/hyperlink" Target="mailto:majumerino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E1A53-5313-44CD-B068-2C33B72D50BB}">
  <dimension ref="A1:J64"/>
  <sheetViews>
    <sheetView tabSelected="1" zoomScale="115" zoomScaleNormal="115" workbookViewId="0">
      <pane ySplit="7" topLeftCell="A24" activePane="bottomLeft" state="frozen"/>
      <selection pane="bottomLeft" activeCell="B21" sqref="B21"/>
    </sheetView>
  </sheetViews>
  <sheetFormatPr baseColWidth="10" defaultRowHeight="15" x14ac:dyDescent="0.2"/>
  <cols>
    <col min="1" max="1" width="9" style="3" customWidth="1"/>
    <col min="2" max="2" width="44.42578125" style="3" customWidth="1"/>
    <col min="3" max="3" width="52.140625" style="3" bestFit="1" customWidth="1"/>
    <col min="4" max="4" width="12.85546875" style="3" customWidth="1"/>
    <col min="5" max="5" width="14" style="3" customWidth="1"/>
    <col min="6" max="6" width="46.42578125" style="3" customWidth="1"/>
    <col min="7" max="7" width="23.5703125" style="3" customWidth="1"/>
    <col min="8" max="8" width="38.7109375" style="3" customWidth="1"/>
    <col min="9" max="9" width="46.140625" style="3" customWidth="1"/>
    <col min="10" max="10" width="15.85546875" style="3" customWidth="1"/>
    <col min="11" max="16384" width="11.42578125" style="3"/>
  </cols>
  <sheetData>
    <row r="1" spans="1:10" x14ac:dyDescent="0.2">
      <c r="A1" s="1"/>
      <c r="B1" s="2"/>
      <c r="C1" s="2"/>
      <c r="D1" s="2"/>
      <c r="E1" s="2"/>
      <c r="F1" s="2"/>
      <c r="G1" s="2"/>
      <c r="H1" s="2"/>
      <c r="I1" s="2"/>
      <c r="J1" s="2"/>
    </row>
    <row r="2" spans="1:10" x14ac:dyDescent="0.2">
      <c r="A2" s="4"/>
      <c r="C2" s="73" t="s">
        <v>216</v>
      </c>
    </row>
    <row r="3" spans="1:10" x14ac:dyDescent="0.2">
      <c r="A3" s="4"/>
      <c r="C3" s="73"/>
    </row>
    <row r="4" spans="1:10" x14ac:dyDescent="0.2">
      <c r="A4" s="4"/>
      <c r="C4" s="73"/>
    </row>
    <row r="5" spans="1:10" x14ac:dyDescent="0.2">
      <c r="A5" s="74" t="s">
        <v>211</v>
      </c>
      <c r="B5" s="75"/>
      <c r="C5" s="75"/>
      <c r="D5" s="75"/>
      <c r="E5" s="75"/>
      <c r="F5" s="75"/>
      <c r="G5" s="75"/>
      <c r="H5" s="75"/>
      <c r="I5" s="75"/>
      <c r="J5" s="76"/>
    </row>
    <row r="6" spans="1:10" x14ac:dyDescent="0.2">
      <c r="A6" s="74"/>
      <c r="B6" s="75"/>
      <c r="C6" s="75"/>
      <c r="D6" s="75"/>
      <c r="E6" s="75"/>
      <c r="F6" s="75"/>
      <c r="G6" s="75"/>
      <c r="H6" s="75"/>
      <c r="I6" s="75"/>
      <c r="J6" s="76"/>
    </row>
    <row r="7" spans="1:10" x14ac:dyDescent="0.2">
      <c r="A7" s="77"/>
      <c r="B7" s="78"/>
      <c r="C7" s="78"/>
      <c r="D7" s="78"/>
      <c r="E7" s="78"/>
      <c r="F7" s="78"/>
      <c r="G7" s="78"/>
      <c r="H7" s="78"/>
      <c r="I7" s="78"/>
      <c r="J7" s="79"/>
    </row>
    <row r="8" spans="1:10" ht="39.75" customHeight="1" x14ac:dyDescent="0.2">
      <c r="A8" s="5" t="s">
        <v>202</v>
      </c>
      <c r="B8" s="5" t="s">
        <v>0</v>
      </c>
      <c r="C8" s="6" t="s">
        <v>1</v>
      </c>
      <c r="D8" s="6" t="s">
        <v>2</v>
      </c>
      <c r="E8" s="6" t="s">
        <v>203</v>
      </c>
      <c r="F8" s="6" t="s">
        <v>3</v>
      </c>
      <c r="G8" s="6" t="s">
        <v>4</v>
      </c>
      <c r="H8" s="6" t="s">
        <v>204</v>
      </c>
      <c r="I8" s="6" t="s">
        <v>205</v>
      </c>
      <c r="J8" s="6" t="s">
        <v>206</v>
      </c>
    </row>
    <row r="9" spans="1:10" s="7" customFormat="1" ht="39.75" customHeight="1" x14ac:dyDescent="0.2">
      <c r="A9" s="80" t="s">
        <v>207</v>
      </c>
      <c r="B9" s="81"/>
      <c r="C9" s="81"/>
      <c r="D9" s="81"/>
      <c r="E9" s="81"/>
      <c r="F9" s="81"/>
      <c r="G9" s="81"/>
      <c r="H9" s="81"/>
      <c r="I9" s="81"/>
      <c r="J9" s="82"/>
    </row>
    <row r="10" spans="1:10" ht="15.75" customHeight="1" x14ac:dyDescent="0.2">
      <c r="A10" s="34">
        <v>1</v>
      </c>
      <c r="B10" s="35" t="s">
        <v>167</v>
      </c>
      <c r="C10" s="36" t="s">
        <v>168</v>
      </c>
      <c r="D10" s="35">
        <v>19030859</v>
      </c>
      <c r="E10" s="35">
        <v>903053670</v>
      </c>
      <c r="F10" s="50" t="s">
        <v>169</v>
      </c>
      <c r="G10" s="37" t="s">
        <v>68</v>
      </c>
      <c r="H10" s="35" t="s">
        <v>170</v>
      </c>
      <c r="I10" s="35" t="s">
        <v>32</v>
      </c>
      <c r="J10" s="38">
        <v>22424</v>
      </c>
    </row>
    <row r="11" spans="1:10" ht="15.75" customHeight="1" x14ac:dyDescent="0.2">
      <c r="A11" s="8">
        <f>1+A10</f>
        <v>2</v>
      </c>
      <c r="B11" s="66" t="s">
        <v>65</v>
      </c>
      <c r="C11" s="49" t="s">
        <v>66</v>
      </c>
      <c r="D11" s="9">
        <v>17952368</v>
      </c>
      <c r="E11" s="9">
        <v>971534315</v>
      </c>
      <c r="F11" s="51" t="s">
        <v>67</v>
      </c>
      <c r="G11" s="10" t="s">
        <v>68</v>
      </c>
      <c r="H11" s="11">
        <v>276</v>
      </c>
      <c r="I11" s="9" t="s">
        <v>69</v>
      </c>
      <c r="J11" s="12">
        <v>23081</v>
      </c>
    </row>
    <row r="12" spans="1:10" ht="15.75" customHeight="1" x14ac:dyDescent="0.2">
      <c r="A12" s="8">
        <f t="shared" ref="A12:A14" si="0">1+A11</f>
        <v>3</v>
      </c>
      <c r="B12" s="9" t="s">
        <v>122</v>
      </c>
      <c r="C12" s="49" t="s">
        <v>123</v>
      </c>
      <c r="D12" s="9">
        <v>41520111</v>
      </c>
      <c r="E12" s="9">
        <v>954310057</v>
      </c>
      <c r="F12" s="51" t="s">
        <v>124</v>
      </c>
      <c r="G12" s="10" t="s">
        <v>68</v>
      </c>
      <c r="H12" s="11">
        <v>276</v>
      </c>
      <c r="I12" s="9" t="s">
        <v>95</v>
      </c>
      <c r="J12" s="12">
        <v>36071</v>
      </c>
    </row>
    <row r="13" spans="1:10" ht="15.75" customHeight="1" x14ac:dyDescent="0.2">
      <c r="A13" s="8">
        <f>1+A12</f>
        <v>4</v>
      </c>
      <c r="B13" s="13" t="s">
        <v>214</v>
      </c>
      <c r="C13" s="13"/>
      <c r="D13" s="13">
        <v>41041515</v>
      </c>
      <c r="E13" s="13">
        <v>949566300</v>
      </c>
      <c r="F13" s="63" t="s">
        <v>215</v>
      </c>
      <c r="G13" s="10" t="s">
        <v>68</v>
      </c>
      <c r="H13" s="64" t="s">
        <v>9</v>
      </c>
      <c r="I13" s="13"/>
      <c r="J13" s="12"/>
    </row>
    <row r="14" spans="1:10" x14ac:dyDescent="0.2">
      <c r="A14" s="8">
        <f t="shared" si="0"/>
        <v>5</v>
      </c>
      <c r="B14" s="13" t="s">
        <v>141</v>
      </c>
      <c r="C14" s="47" t="s">
        <v>142</v>
      </c>
      <c r="D14" s="13">
        <v>74491276</v>
      </c>
      <c r="E14" s="13">
        <v>921021458</v>
      </c>
      <c r="F14" s="52" t="s">
        <v>143</v>
      </c>
      <c r="G14" s="13" t="s">
        <v>68</v>
      </c>
      <c r="H14" s="13" t="s">
        <v>9</v>
      </c>
      <c r="I14" s="13" t="s">
        <v>144</v>
      </c>
      <c r="J14" s="12">
        <v>36213</v>
      </c>
    </row>
    <row r="15" spans="1:10" ht="45" x14ac:dyDescent="0.2">
      <c r="A15" s="83" t="s">
        <v>208</v>
      </c>
      <c r="B15" s="84"/>
      <c r="C15" s="84"/>
      <c r="D15" s="84"/>
      <c r="E15" s="84"/>
      <c r="F15" s="84"/>
      <c r="G15" s="84"/>
      <c r="H15" s="84"/>
      <c r="I15" s="84"/>
      <c r="J15" s="85"/>
    </row>
    <row r="16" spans="1:10" ht="15.75" x14ac:dyDescent="0.2">
      <c r="A16" s="44">
        <v>6</v>
      </c>
      <c r="B16" s="43" t="s">
        <v>19</v>
      </c>
      <c r="C16" s="43" t="s">
        <v>20</v>
      </c>
      <c r="D16" s="43">
        <v>43268702</v>
      </c>
      <c r="E16" s="43">
        <v>945265735</v>
      </c>
      <c r="F16" s="53" t="s">
        <v>21</v>
      </c>
      <c r="G16" s="43" t="s">
        <v>8</v>
      </c>
      <c r="H16" s="43" t="s">
        <v>22</v>
      </c>
      <c r="I16" s="43" t="s">
        <v>23</v>
      </c>
      <c r="J16" s="38">
        <v>31298</v>
      </c>
    </row>
    <row r="17" spans="1:10" x14ac:dyDescent="0.2">
      <c r="A17" s="30">
        <v>7</v>
      </c>
      <c r="B17" s="40" t="s">
        <v>5</v>
      </c>
      <c r="C17" s="48" t="s">
        <v>6</v>
      </c>
      <c r="D17" s="40">
        <v>70941709</v>
      </c>
      <c r="E17" s="40">
        <v>999866131</v>
      </c>
      <c r="F17" s="54" t="s">
        <v>7</v>
      </c>
      <c r="G17" s="40" t="s">
        <v>8</v>
      </c>
      <c r="H17" s="40" t="s">
        <v>9</v>
      </c>
      <c r="I17" s="41" t="s">
        <v>10</v>
      </c>
      <c r="J17" s="42">
        <v>35231</v>
      </c>
    </row>
    <row r="18" spans="1:10" s="18" customFormat="1" x14ac:dyDescent="0.2">
      <c r="A18" s="15">
        <v>8</v>
      </c>
      <c r="B18" s="65" t="s">
        <v>37</v>
      </c>
      <c r="C18" s="49" t="s">
        <v>38</v>
      </c>
      <c r="D18" s="16">
        <v>19100791</v>
      </c>
      <c r="E18" s="16">
        <v>999202643</v>
      </c>
      <c r="F18" s="55" t="s">
        <v>39</v>
      </c>
      <c r="G18" s="16" t="s">
        <v>8</v>
      </c>
      <c r="H18" s="16">
        <v>276</v>
      </c>
      <c r="I18" s="16" t="s">
        <v>32</v>
      </c>
      <c r="J18" s="12">
        <v>28581</v>
      </c>
    </row>
    <row r="19" spans="1:10" x14ac:dyDescent="0.2">
      <c r="A19" s="30">
        <v>9</v>
      </c>
      <c r="B19" s="71" t="s">
        <v>40</v>
      </c>
      <c r="C19" s="49" t="s">
        <v>41</v>
      </c>
      <c r="D19" s="9">
        <v>44624781</v>
      </c>
      <c r="E19" s="9">
        <v>940801434</v>
      </c>
      <c r="F19" s="56" t="s">
        <v>42</v>
      </c>
      <c r="G19" s="9" t="s">
        <v>8</v>
      </c>
      <c r="H19" s="9" t="s">
        <v>9</v>
      </c>
      <c r="I19" s="9" t="s">
        <v>32</v>
      </c>
      <c r="J19" s="12">
        <v>32095</v>
      </c>
    </row>
    <row r="20" spans="1:10" x14ac:dyDescent="0.2">
      <c r="A20" s="15">
        <v>10</v>
      </c>
      <c r="B20" s="66" t="s">
        <v>47</v>
      </c>
      <c r="C20" s="49" t="s">
        <v>48</v>
      </c>
      <c r="D20" s="9">
        <v>72005526</v>
      </c>
      <c r="E20" s="9">
        <v>951783550</v>
      </c>
      <c r="F20" s="56" t="s">
        <v>49</v>
      </c>
      <c r="G20" s="9" t="s">
        <v>8</v>
      </c>
      <c r="H20" s="9">
        <v>276</v>
      </c>
      <c r="I20" s="20" t="s">
        <v>23</v>
      </c>
      <c r="J20" s="12">
        <v>34245</v>
      </c>
    </row>
    <row r="21" spans="1:10" x14ac:dyDescent="0.2">
      <c r="A21" s="30">
        <v>11</v>
      </c>
      <c r="B21" s="9" t="s">
        <v>161</v>
      </c>
      <c r="C21" s="49" t="s">
        <v>162</v>
      </c>
      <c r="D21" s="9">
        <v>17833928</v>
      </c>
      <c r="E21" s="9">
        <v>980276908</v>
      </c>
      <c r="F21" s="56" t="s">
        <v>163</v>
      </c>
      <c r="G21" s="9" t="s">
        <v>8</v>
      </c>
      <c r="H21" s="9">
        <v>276</v>
      </c>
      <c r="I21" s="9" t="s">
        <v>23</v>
      </c>
      <c r="J21" s="12">
        <v>23212</v>
      </c>
    </row>
    <row r="22" spans="1:10" x14ac:dyDescent="0.2">
      <c r="A22" s="15">
        <v>12</v>
      </c>
      <c r="B22" s="13" t="s">
        <v>171</v>
      </c>
      <c r="C22" s="47" t="s">
        <v>172</v>
      </c>
      <c r="D22" s="13">
        <v>74305491</v>
      </c>
      <c r="E22" s="13">
        <v>954731110</v>
      </c>
      <c r="F22" s="52" t="s">
        <v>173</v>
      </c>
      <c r="G22" s="13" t="s">
        <v>8</v>
      </c>
      <c r="H22" s="13" t="s">
        <v>174</v>
      </c>
      <c r="I22" s="13" t="s">
        <v>10</v>
      </c>
      <c r="J22" s="12">
        <v>35162</v>
      </c>
    </row>
    <row r="23" spans="1:10" ht="45" x14ac:dyDescent="0.2">
      <c r="A23" s="80" t="s">
        <v>209</v>
      </c>
      <c r="B23" s="81"/>
      <c r="C23" s="81"/>
      <c r="D23" s="81"/>
      <c r="E23" s="81"/>
      <c r="F23" s="81"/>
      <c r="G23" s="81"/>
      <c r="H23" s="81"/>
      <c r="I23" s="81"/>
      <c r="J23" s="82"/>
    </row>
    <row r="24" spans="1:10" ht="15.75" customHeight="1" x14ac:dyDescent="0.2">
      <c r="A24" s="45">
        <v>13</v>
      </c>
      <c r="B24" s="39" t="s">
        <v>11</v>
      </c>
      <c r="C24" s="39" t="s">
        <v>12</v>
      </c>
      <c r="D24" s="39">
        <v>18155802</v>
      </c>
      <c r="E24" s="39">
        <v>947870284</v>
      </c>
      <c r="F24" s="57" t="s">
        <v>13</v>
      </c>
      <c r="G24" s="39" t="s">
        <v>14</v>
      </c>
      <c r="H24" s="39">
        <v>276</v>
      </c>
      <c r="I24" s="39" t="s">
        <v>10</v>
      </c>
      <c r="J24" s="38">
        <v>27239</v>
      </c>
    </row>
    <row r="25" spans="1:10" ht="15.75" customHeight="1" x14ac:dyDescent="0.2">
      <c r="A25" s="15">
        <v>14</v>
      </c>
      <c r="B25" s="65" t="s">
        <v>15</v>
      </c>
      <c r="C25" s="49" t="s">
        <v>16</v>
      </c>
      <c r="D25" s="16">
        <v>19022917</v>
      </c>
      <c r="E25" s="16">
        <v>992802760</v>
      </c>
      <c r="F25" s="55" t="s">
        <v>17</v>
      </c>
      <c r="G25" s="16" t="s">
        <v>14</v>
      </c>
      <c r="H25" s="16">
        <v>276</v>
      </c>
      <c r="I25" s="16" t="s">
        <v>18</v>
      </c>
      <c r="J25" s="12">
        <v>24214</v>
      </c>
    </row>
    <row r="26" spans="1:10" ht="15.75" customHeight="1" x14ac:dyDescent="0.2">
      <c r="A26" s="15">
        <v>15</v>
      </c>
      <c r="B26" s="16" t="s">
        <v>29</v>
      </c>
      <c r="C26" s="49" t="s">
        <v>30</v>
      </c>
      <c r="D26" s="16">
        <v>41616071</v>
      </c>
      <c r="E26" s="16">
        <v>974969793</v>
      </c>
      <c r="F26" s="55" t="s">
        <v>31</v>
      </c>
      <c r="G26" s="16" t="s">
        <v>14</v>
      </c>
      <c r="H26" s="16" t="s">
        <v>9</v>
      </c>
      <c r="I26" s="16" t="s">
        <v>32</v>
      </c>
      <c r="J26" s="12">
        <v>32125</v>
      </c>
    </row>
    <row r="27" spans="1:10" ht="15.75" customHeight="1" x14ac:dyDescent="0.2">
      <c r="A27" s="15">
        <v>16</v>
      </c>
      <c r="B27" s="65" t="s">
        <v>33</v>
      </c>
      <c r="C27" s="49" t="s">
        <v>34</v>
      </c>
      <c r="D27" s="16">
        <v>45533798</v>
      </c>
      <c r="E27" s="16">
        <v>912840822</v>
      </c>
      <c r="F27" s="55" t="s">
        <v>35</v>
      </c>
      <c r="G27" s="16" t="s">
        <v>14</v>
      </c>
      <c r="H27" s="16">
        <v>276</v>
      </c>
      <c r="I27" s="16" t="s">
        <v>36</v>
      </c>
      <c r="J27" s="12">
        <v>32502</v>
      </c>
    </row>
    <row r="28" spans="1:10" ht="15.75" customHeight="1" x14ac:dyDescent="0.2">
      <c r="A28" s="15">
        <v>17</v>
      </c>
      <c r="B28" s="65" t="s">
        <v>43</v>
      </c>
      <c r="C28" s="49" t="s">
        <v>44</v>
      </c>
      <c r="D28" s="16">
        <v>18829309</v>
      </c>
      <c r="E28" s="16">
        <v>998787975</v>
      </c>
      <c r="F28" s="55" t="s">
        <v>45</v>
      </c>
      <c r="G28" s="16" t="s">
        <v>14</v>
      </c>
      <c r="H28" s="16">
        <v>276</v>
      </c>
      <c r="I28" s="16" t="s">
        <v>46</v>
      </c>
      <c r="J28" s="12">
        <v>21512</v>
      </c>
    </row>
    <row r="29" spans="1:10" ht="15.75" customHeight="1" x14ac:dyDescent="0.2">
      <c r="A29" s="15">
        <v>18</v>
      </c>
      <c r="B29" s="65" t="s">
        <v>213</v>
      </c>
      <c r="C29" s="16"/>
      <c r="D29" s="16">
        <v>18901448</v>
      </c>
      <c r="E29" s="16"/>
      <c r="F29" s="55" t="s">
        <v>212</v>
      </c>
      <c r="G29" s="16" t="s">
        <v>14</v>
      </c>
      <c r="H29" s="16" t="s">
        <v>9</v>
      </c>
      <c r="I29" s="16" t="s">
        <v>23</v>
      </c>
      <c r="J29" s="12">
        <v>28852</v>
      </c>
    </row>
    <row r="30" spans="1:10" ht="15.75" customHeight="1" x14ac:dyDescent="0.2">
      <c r="A30" s="15">
        <v>19</v>
      </c>
      <c r="B30" s="16" t="s">
        <v>80</v>
      </c>
      <c r="C30" s="49" t="s">
        <v>81</v>
      </c>
      <c r="D30" s="16">
        <v>76955722</v>
      </c>
      <c r="E30" s="16">
        <v>980009595</v>
      </c>
      <c r="F30" s="55" t="s">
        <v>82</v>
      </c>
      <c r="G30" s="16" t="s">
        <v>14</v>
      </c>
      <c r="H30" s="16" t="s">
        <v>9</v>
      </c>
      <c r="I30" s="16" t="s">
        <v>32</v>
      </c>
      <c r="J30" s="12">
        <v>34700</v>
      </c>
    </row>
    <row r="31" spans="1:10" ht="15.75" customHeight="1" x14ac:dyDescent="0.2">
      <c r="A31" s="15">
        <v>20</v>
      </c>
      <c r="B31" s="65" t="s">
        <v>107</v>
      </c>
      <c r="C31" s="49" t="s">
        <v>108</v>
      </c>
      <c r="D31" s="16">
        <v>17970838</v>
      </c>
      <c r="E31" s="16">
        <v>953197808</v>
      </c>
      <c r="F31" s="55" t="s">
        <v>109</v>
      </c>
      <c r="G31" s="16" t="s">
        <v>14</v>
      </c>
      <c r="H31" s="16">
        <v>276</v>
      </c>
      <c r="I31" s="22" t="s">
        <v>110</v>
      </c>
      <c r="J31" s="12">
        <v>20671</v>
      </c>
    </row>
    <row r="32" spans="1:10" ht="15.75" customHeight="1" x14ac:dyDescent="0.2">
      <c r="A32" s="15">
        <v>21</v>
      </c>
      <c r="B32" s="65" t="s">
        <v>111</v>
      </c>
      <c r="C32" s="49" t="s">
        <v>112</v>
      </c>
      <c r="D32" s="16">
        <v>19075544</v>
      </c>
      <c r="E32" s="16">
        <v>949925386</v>
      </c>
      <c r="F32" s="55" t="s">
        <v>113</v>
      </c>
      <c r="G32" s="16" t="s">
        <v>14</v>
      </c>
      <c r="H32" s="16">
        <v>276</v>
      </c>
      <c r="I32" s="21" t="s">
        <v>32</v>
      </c>
      <c r="J32" s="12">
        <v>27354</v>
      </c>
    </row>
    <row r="33" spans="1:10" s="18" customFormat="1" ht="15.75" customHeight="1" x14ac:dyDescent="0.2">
      <c r="A33" s="15">
        <v>22</v>
      </c>
      <c r="B33" s="16" t="s">
        <v>137</v>
      </c>
      <c r="C33" s="49" t="s">
        <v>138</v>
      </c>
      <c r="D33" s="16">
        <v>77167581</v>
      </c>
      <c r="E33" s="16">
        <v>938846276</v>
      </c>
      <c r="F33" s="55" t="s">
        <v>139</v>
      </c>
      <c r="G33" s="16" t="s">
        <v>14</v>
      </c>
      <c r="H33" s="16" t="s">
        <v>9</v>
      </c>
      <c r="I33" s="16" t="s">
        <v>140</v>
      </c>
      <c r="J33" s="12">
        <v>35008</v>
      </c>
    </row>
    <row r="34" spans="1:10" s="18" customFormat="1" ht="15.75" customHeight="1" x14ac:dyDescent="0.2">
      <c r="A34" s="15">
        <v>23</v>
      </c>
      <c r="B34" s="16" t="s">
        <v>153</v>
      </c>
      <c r="C34" s="69" t="s">
        <v>154</v>
      </c>
      <c r="D34" s="16">
        <v>19100280</v>
      </c>
      <c r="E34" s="16">
        <v>948612513</v>
      </c>
      <c r="F34" s="55" t="s">
        <v>155</v>
      </c>
      <c r="G34" s="16" t="s">
        <v>14</v>
      </c>
      <c r="H34" s="16">
        <v>276</v>
      </c>
      <c r="I34" s="16" t="s">
        <v>156</v>
      </c>
      <c r="J34" s="12">
        <v>28282</v>
      </c>
    </row>
    <row r="35" spans="1:10" s="18" customFormat="1" ht="15.75" customHeight="1" x14ac:dyDescent="0.2">
      <c r="A35" s="15">
        <v>24</v>
      </c>
      <c r="B35" s="16" t="s">
        <v>157</v>
      </c>
      <c r="C35" s="49" t="s">
        <v>158</v>
      </c>
      <c r="D35" s="16">
        <v>19020764</v>
      </c>
      <c r="E35" s="16">
        <v>931241265</v>
      </c>
      <c r="F35" s="55" t="s">
        <v>159</v>
      </c>
      <c r="G35" s="16" t="s">
        <v>14</v>
      </c>
      <c r="H35" s="16">
        <v>276</v>
      </c>
      <c r="I35" s="16" t="s">
        <v>160</v>
      </c>
      <c r="J35" s="12">
        <v>22043</v>
      </c>
    </row>
    <row r="36" spans="1:10" s="18" customFormat="1" ht="15.75" customHeight="1" x14ac:dyDescent="0.2">
      <c r="A36" s="15">
        <v>25</v>
      </c>
      <c r="B36" s="16" t="s">
        <v>164</v>
      </c>
      <c r="C36" s="70" t="s">
        <v>165</v>
      </c>
      <c r="D36" s="16">
        <v>18139516</v>
      </c>
      <c r="E36" s="16">
        <v>975833053</v>
      </c>
      <c r="F36" s="58" t="s">
        <v>166</v>
      </c>
      <c r="G36" s="16" t="s">
        <v>14</v>
      </c>
      <c r="H36" s="16" t="s">
        <v>9</v>
      </c>
      <c r="I36" s="16" t="s">
        <v>23</v>
      </c>
      <c r="J36" s="12">
        <v>27206</v>
      </c>
    </row>
    <row r="37" spans="1:10" s="18" customFormat="1" ht="15.75" customHeight="1" x14ac:dyDescent="0.2">
      <c r="A37" s="15">
        <v>26</v>
      </c>
      <c r="B37" s="16" t="s">
        <v>175</v>
      </c>
      <c r="C37" s="49" t="s">
        <v>176</v>
      </c>
      <c r="D37" s="16">
        <v>60852233</v>
      </c>
      <c r="E37" s="16">
        <v>949757762</v>
      </c>
      <c r="F37" s="55" t="s">
        <v>177</v>
      </c>
      <c r="G37" s="16" t="s">
        <v>14</v>
      </c>
      <c r="H37" s="16" t="s">
        <v>174</v>
      </c>
      <c r="I37" s="16" t="s">
        <v>178</v>
      </c>
      <c r="J37" s="12">
        <v>38325</v>
      </c>
    </row>
    <row r="38" spans="1:10" s="23" customFormat="1" ht="15.75" customHeight="1" x14ac:dyDescent="0.2">
      <c r="A38" s="15">
        <v>27</v>
      </c>
      <c r="B38" s="16" t="s">
        <v>182</v>
      </c>
      <c r="C38" s="49" t="s">
        <v>183</v>
      </c>
      <c r="D38" s="16">
        <v>18085706</v>
      </c>
      <c r="E38" s="16">
        <v>969435555</v>
      </c>
      <c r="F38" s="55" t="s">
        <v>184</v>
      </c>
      <c r="G38" s="16" t="s">
        <v>14</v>
      </c>
      <c r="H38" s="16" t="s">
        <v>174</v>
      </c>
      <c r="I38" s="16" t="s">
        <v>185</v>
      </c>
      <c r="J38" s="12">
        <v>26022</v>
      </c>
    </row>
    <row r="39" spans="1:10" s="23" customFormat="1" ht="15.75" customHeight="1" x14ac:dyDescent="0.2">
      <c r="A39" s="15">
        <v>28</v>
      </c>
      <c r="B39" s="16" t="s">
        <v>189</v>
      </c>
      <c r="C39" s="49" t="s">
        <v>190</v>
      </c>
      <c r="D39" s="16">
        <v>47427041</v>
      </c>
      <c r="E39" s="16">
        <v>942672270</v>
      </c>
      <c r="F39" s="58" t="s">
        <v>191</v>
      </c>
      <c r="G39" s="24" t="s">
        <v>14</v>
      </c>
      <c r="H39" s="25" t="s">
        <v>174</v>
      </c>
      <c r="I39" s="16" t="s">
        <v>10</v>
      </c>
      <c r="J39" s="12">
        <v>33741</v>
      </c>
    </row>
    <row r="40" spans="1:10" s="29" customFormat="1" ht="15.75" customHeight="1" x14ac:dyDescent="0.2">
      <c r="A40" s="15">
        <v>29</v>
      </c>
      <c r="B40" s="26" t="s">
        <v>192</v>
      </c>
      <c r="C40" s="49" t="s">
        <v>193</v>
      </c>
      <c r="D40" s="26">
        <v>47020261</v>
      </c>
      <c r="E40" s="26">
        <v>940997297</v>
      </c>
      <c r="F40" s="59" t="s">
        <v>194</v>
      </c>
      <c r="G40" s="27" t="s">
        <v>14</v>
      </c>
      <c r="H40" s="28" t="s">
        <v>195</v>
      </c>
      <c r="I40" s="26" t="s">
        <v>32</v>
      </c>
      <c r="J40" s="12">
        <v>33341</v>
      </c>
    </row>
    <row r="41" spans="1:10" s="23" customFormat="1" ht="15.75" customHeight="1" x14ac:dyDescent="0.2">
      <c r="A41" s="15">
        <v>30</v>
      </c>
      <c r="B41" s="26" t="s">
        <v>196</v>
      </c>
      <c r="C41" s="70" t="s">
        <v>197</v>
      </c>
      <c r="D41" s="26">
        <v>74497744</v>
      </c>
      <c r="E41" s="26">
        <v>931102935</v>
      </c>
      <c r="F41" s="60" t="s">
        <v>198</v>
      </c>
      <c r="G41" s="26" t="s">
        <v>14</v>
      </c>
      <c r="H41" s="26" t="s">
        <v>174</v>
      </c>
      <c r="I41" s="26" t="s">
        <v>95</v>
      </c>
      <c r="J41" s="12">
        <v>35481</v>
      </c>
    </row>
    <row r="42" spans="1:10" s="23" customFormat="1" ht="15.75" customHeight="1" x14ac:dyDescent="0.2">
      <c r="A42" s="15">
        <v>31</v>
      </c>
      <c r="B42" s="26" t="s">
        <v>199</v>
      </c>
      <c r="C42" s="49" t="s">
        <v>200</v>
      </c>
      <c r="D42" s="26">
        <v>76503608</v>
      </c>
      <c r="E42" s="26">
        <v>920826993</v>
      </c>
      <c r="F42" s="60" t="s">
        <v>201</v>
      </c>
      <c r="G42" s="26" t="s">
        <v>14</v>
      </c>
      <c r="H42" s="26" t="s">
        <v>174</v>
      </c>
      <c r="I42" s="26" t="s">
        <v>23</v>
      </c>
      <c r="J42" s="12">
        <v>34974</v>
      </c>
    </row>
    <row r="43" spans="1:10" s="23" customFormat="1" ht="45" x14ac:dyDescent="0.2">
      <c r="A43" s="80" t="s">
        <v>210</v>
      </c>
      <c r="B43" s="81"/>
      <c r="C43" s="81"/>
      <c r="D43" s="81"/>
      <c r="E43" s="81"/>
      <c r="F43" s="81"/>
      <c r="G43" s="81"/>
      <c r="H43" s="81"/>
      <c r="I43" s="81"/>
      <c r="J43" s="82"/>
    </row>
    <row r="44" spans="1:10" ht="15.75" x14ac:dyDescent="0.2">
      <c r="A44" s="46">
        <v>32</v>
      </c>
      <c r="B44" s="72" t="s">
        <v>60</v>
      </c>
      <c r="C44" s="39" t="s">
        <v>61</v>
      </c>
      <c r="D44" s="39">
        <v>18153447</v>
      </c>
      <c r="E44" s="39">
        <v>965382046</v>
      </c>
      <c r="F44" s="57" t="s">
        <v>62</v>
      </c>
      <c r="G44" s="39" t="s">
        <v>27</v>
      </c>
      <c r="H44" s="39" t="s">
        <v>63</v>
      </c>
      <c r="I44" s="39" t="s">
        <v>64</v>
      </c>
      <c r="J44" s="38">
        <v>26227</v>
      </c>
    </row>
    <row r="45" spans="1:10" x14ac:dyDescent="0.2">
      <c r="A45" s="8">
        <v>33</v>
      </c>
      <c r="B45" s="66" t="s">
        <v>24</v>
      </c>
      <c r="C45" s="49" t="s">
        <v>25</v>
      </c>
      <c r="D45" s="9">
        <v>17983032</v>
      </c>
      <c r="E45" s="9">
        <v>984950138</v>
      </c>
      <c r="F45" s="56" t="s">
        <v>26</v>
      </c>
      <c r="G45" s="9" t="s">
        <v>27</v>
      </c>
      <c r="H45" s="9">
        <v>276</v>
      </c>
      <c r="I45" s="9" t="s">
        <v>28</v>
      </c>
      <c r="J45" s="12">
        <v>21944</v>
      </c>
    </row>
    <row r="46" spans="1:10" x14ac:dyDescent="0.2">
      <c r="A46" s="8">
        <v>34</v>
      </c>
      <c r="B46" s="66" t="s">
        <v>50</v>
      </c>
      <c r="C46" s="49" t="s">
        <v>51</v>
      </c>
      <c r="D46" s="9">
        <v>40406445</v>
      </c>
      <c r="E46" s="9">
        <v>944465213</v>
      </c>
      <c r="F46" s="56" t="s">
        <v>52</v>
      </c>
      <c r="G46" s="9" t="s">
        <v>27</v>
      </c>
      <c r="H46" s="9" t="s">
        <v>53</v>
      </c>
      <c r="I46" s="9" t="s">
        <v>32</v>
      </c>
      <c r="J46" s="12">
        <v>29020</v>
      </c>
    </row>
    <row r="47" spans="1:10" x14ac:dyDescent="0.2">
      <c r="A47" s="8">
        <v>35</v>
      </c>
      <c r="B47" s="9" t="s">
        <v>54</v>
      </c>
      <c r="C47" s="49" t="s">
        <v>55</v>
      </c>
      <c r="D47" s="9">
        <v>19693190</v>
      </c>
      <c r="E47" s="9">
        <v>999780477</v>
      </c>
      <c r="F47" s="56" t="s">
        <v>56</v>
      </c>
      <c r="G47" s="9" t="s">
        <v>27</v>
      </c>
      <c r="H47" s="9" t="s">
        <v>9</v>
      </c>
      <c r="I47" s="9" t="s">
        <v>10</v>
      </c>
      <c r="J47" s="12">
        <v>28010</v>
      </c>
    </row>
    <row r="48" spans="1:10" x14ac:dyDescent="0.2">
      <c r="A48" s="8">
        <v>36</v>
      </c>
      <c r="B48" s="9" t="s">
        <v>57</v>
      </c>
      <c r="C48" s="49" t="s">
        <v>58</v>
      </c>
      <c r="D48" s="9">
        <v>47528284</v>
      </c>
      <c r="E48" s="9">
        <v>947988247</v>
      </c>
      <c r="F48" s="56" t="s">
        <v>59</v>
      </c>
      <c r="G48" s="9" t="s">
        <v>27</v>
      </c>
      <c r="H48" s="9" t="s">
        <v>9</v>
      </c>
      <c r="I48" s="9" t="s">
        <v>23</v>
      </c>
      <c r="J48" s="12">
        <v>33888</v>
      </c>
    </row>
    <row r="49" spans="1:10" x14ac:dyDescent="0.2">
      <c r="A49" s="8">
        <v>37</v>
      </c>
      <c r="B49" s="66" t="s">
        <v>70</v>
      </c>
      <c r="C49" s="49" t="s">
        <v>71</v>
      </c>
      <c r="D49" s="9">
        <v>41108029</v>
      </c>
      <c r="E49" s="9">
        <v>969230022</v>
      </c>
      <c r="F49" s="56" t="s">
        <v>72</v>
      </c>
      <c r="G49" s="9" t="s">
        <v>27</v>
      </c>
      <c r="H49" s="9" t="s">
        <v>73</v>
      </c>
      <c r="I49" s="9" t="s">
        <v>74</v>
      </c>
      <c r="J49" s="12">
        <v>29612</v>
      </c>
    </row>
    <row r="50" spans="1:10" x14ac:dyDescent="0.2">
      <c r="A50" s="8">
        <v>38</v>
      </c>
      <c r="B50" s="66" t="s">
        <v>75</v>
      </c>
      <c r="C50" s="49" t="s">
        <v>76</v>
      </c>
      <c r="D50" s="9">
        <v>17836568</v>
      </c>
      <c r="E50" s="9">
        <v>944642876</v>
      </c>
      <c r="F50" s="56" t="s">
        <v>77</v>
      </c>
      <c r="G50" s="9" t="s">
        <v>27</v>
      </c>
      <c r="H50" s="9" t="s">
        <v>78</v>
      </c>
      <c r="I50" s="9" t="s">
        <v>79</v>
      </c>
      <c r="J50" s="12">
        <v>23650</v>
      </c>
    </row>
    <row r="51" spans="1:10" x14ac:dyDescent="0.2">
      <c r="A51" s="8">
        <v>39</v>
      </c>
      <c r="B51" s="9" t="s">
        <v>83</v>
      </c>
      <c r="C51" s="49" t="s">
        <v>84</v>
      </c>
      <c r="D51" s="9">
        <v>70874341</v>
      </c>
      <c r="E51" s="9">
        <v>988709151</v>
      </c>
      <c r="F51" s="56" t="s">
        <v>85</v>
      </c>
      <c r="G51" s="9" t="s">
        <v>27</v>
      </c>
      <c r="H51" s="14" t="s">
        <v>9</v>
      </c>
      <c r="I51" s="9" t="s">
        <v>10</v>
      </c>
      <c r="J51" s="12">
        <v>33729</v>
      </c>
    </row>
    <row r="52" spans="1:10" x14ac:dyDescent="0.2">
      <c r="A52" s="8">
        <v>40</v>
      </c>
      <c r="B52" s="9" t="s">
        <v>86</v>
      </c>
      <c r="C52" s="49" t="s">
        <v>87</v>
      </c>
      <c r="D52" s="9">
        <v>80686904</v>
      </c>
      <c r="E52" s="9">
        <v>959783941</v>
      </c>
      <c r="F52" s="61" t="s">
        <v>88</v>
      </c>
      <c r="G52" s="9" t="s">
        <v>27</v>
      </c>
      <c r="H52" s="9" t="s">
        <v>89</v>
      </c>
      <c r="I52" s="9" t="s">
        <v>90</v>
      </c>
      <c r="J52" s="12">
        <v>29129</v>
      </c>
    </row>
    <row r="53" spans="1:10" x14ac:dyDescent="0.2">
      <c r="A53" s="8">
        <v>41</v>
      </c>
      <c r="B53" s="9" t="s">
        <v>91</v>
      </c>
      <c r="C53" s="49" t="s">
        <v>92</v>
      </c>
      <c r="D53" s="9">
        <v>44688780</v>
      </c>
      <c r="E53" s="9">
        <v>943176534</v>
      </c>
      <c r="F53" s="56" t="s">
        <v>93</v>
      </c>
      <c r="G53" s="9" t="s">
        <v>27</v>
      </c>
      <c r="H53" s="9" t="s">
        <v>94</v>
      </c>
      <c r="I53" s="9" t="s">
        <v>95</v>
      </c>
      <c r="J53" s="12">
        <v>31988</v>
      </c>
    </row>
    <row r="54" spans="1:10" x14ac:dyDescent="0.2">
      <c r="A54" s="8">
        <v>42</v>
      </c>
      <c r="B54" s="9" t="s">
        <v>96</v>
      </c>
      <c r="C54" s="49" t="s">
        <v>97</v>
      </c>
      <c r="D54" s="9">
        <v>18202770</v>
      </c>
      <c r="E54" s="9">
        <v>949712112</v>
      </c>
      <c r="F54" s="56" t="s">
        <v>98</v>
      </c>
      <c r="G54" s="9" t="s">
        <v>27</v>
      </c>
      <c r="H54" s="9" t="s">
        <v>99</v>
      </c>
      <c r="I54" s="9" t="s">
        <v>100</v>
      </c>
      <c r="J54" s="12">
        <v>28123</v>
      </c>
    </row>
    <row r="55" spans="1:10" x14ac:dyDescent="0.2">
      <c r="A55" s="8">
        <v>43</v>
      </c>
      <c r="B55" s="9" t="s">
        <v>103</v>
      </c>
      <c r="C55" s="49" t="s">
        <v>104</v>
      </c>
      <c r="D55" s="9">
        <v>45517705</v>
      </c>
      <c r="E55" s="9">
        <v>921866878</v>
      </c>
      <c r="F55" s="56" t="s">
        <v>105</v>
      </c>
      <c r="G55" s="9" t="s">
        <v>27</v>
      </c>
      <c r="H55" s="9" t="s">
        <v>106</v>
      </c>
      <c r="I55" s="9" t="s">
        <v>95</v>
      </c>
      <c r="J55" s="12">
        <v>46035</v>
      </c>
    </row>
    <row r="56" spans="1:10" x14ac:dyDescent="0.2">
      <c r="A56" s="8">
        <v>44</v>
      </c>
      <c r="B56" s="9" t="s">
        <v>114</v>
      </c>
      <c r="C56" s="67" t="s">
        <v>115</v>
      </c>
      <c r="D56" s="9">
        <v>18197792</v>
      </c>
      <c r="E56" s="9">
        <v>991571921</v>
      </c>
      <c r="F56" s="61" t="s">
        <v>116</v>
      </c>
      <c r="G56" s="9" t="s">
        <v>27</v>
      </c>
      <c r="H56" s="20" t="s">
        <v>99</v>
      </c>
      <c r="I56" s="20" t="s">
        <v>10</v>
      </c>
      <c r="J56" s="12">
        <v>31136</v>
      </c>
    </row>
    <row r="57" spans="1:10" x14ac:dyDescent="0.2">
      <c r="A57" s="8">
        <v>45</v>
      </c>
      <c r="B57" s="66" t="s">
        <v>117</v>
      </c>
      <c r="C57" s="49" t="s">
        <v>118</v>
      </c>
      <c r="D57" s="9">
        <v>32916116</v>
      </c>
      <c r="E57" s="9">
        <v>970060616</v>
      </c>
      <c r="F57" s="61" t="s">
        <v>119</v>
      </c>
      <c r="G57" s="9" t="s">
        <v>27</v>
      </c>
      <c r="H57" s="9" t="s">
        <v>120</v>
      </c>
      <c r="I57" s="9" t="s">
        <v>121</v>
      </c>
      <c r="J57" s="12">
        <v>25348</v>
      </c>
    </row>
    <row r="58" spans="1:10" x14ac:dyDescent="0.2">
      <c r="A58" s="8">
        <v>46</v>
      </c>
      <c r="B58" s="66" t="s">
        <v>125</v>
      </c>
      <c r="C58" s="49" t="s">
        <v>126</v>
      </c>
      <c r="D58" s="9">
        <v>19033435</v>
      </c>
      <c r="E58" s="9">
        <v>959094414</v>
      </c>
      <c r="F58" s="56" t="s">
        <v>127</v>
      </c>
      <c r="G58" s="9" t="s">
        <v>27</v>
      </c>
      <c r="H58" s="9" t="s">
        <v>128</v>
      </c>
      <c r="I58" s="20" t="s">
        <v>23</v>
      </c>
      <c r="J58" s="12">
        <v>25216</v>
      </c>
    </row>
    <row r="59" spans="1:10" s="18" customFormat="1" x14ac:dyDescent="0.2">
      <c r="A59" s="8">
        <v>47</v>
      </c>
      <c r="B59" s="65" t="s">
        <v>129</v>
      </c>
      <c r="C59" s="49" t="s">
        <v>130</v>
      </c>
      <c r="D59" s="16">
        <v>19081008</v>
      </c>
      <c r="E59" s="16">
        <v>999173630</v>
      </c>
      <c r="F59" s="55" t="s">
        <v>131</v>
      </c>
      <c r="G59" s="16" t="s">
        <v>27</v>
      </c>
      <c r="H59" s="16" t="s">
        <v>132</v>
      </c>
      <c r="I59" s="16" t="s">
        <v>95</v>
      </c>
      <c r="J59" s="12">
        <v>26815</v>
      </c>
    </row>
    <row r="60" spans="1:10" ht="16.5" customHeight="1" x14ac:dyDescent="0.2">
      <c r="A60" s="8">
        <v>48</v>
      </c>
      <c r="B60" s="9" t="s">
        <v>133</v>
      </c>
      <c r="C60" s="49" t="s">
        <v>134</v>
      </c>
      <c r="D60" s="9">
        <v>19037386</v>
      </c>
      <c r="E60" s="9">
        <v>949618460</v>
      </c>
      <c r="F60" s="56" t="s">
        <v>135</v>
      </c>
      <c r="G60" s="9" t="s">
        <v>27</v>
      </c>
      <c r="H60" s="31" t="s">
        <v>136</v>
      </c>
      <c r="I60" s="9" t="s">
        <v>32</v>
      </c>
      <c r="J60" s="12">
        <v>26373</v>
      </c>
    </row>
    <row r="61" spans="1:10" x14ac:dyDescent="0.2">
      <c r="A61" s="8">
        <v>49</v>
      </c>
      <c r="B61" s="66" t="s">
        <v>145</v>
      </c>
      <c r="C61" s="49" t="s">
        <v>146</v>
      </c>
      <c r="D61" s="9">
        <v>19075008</v>
      </c>
      <c r="E61" s="9">
        <v>948448531</v>
      </c>
      <c r="F61" s="56" t="s">
        <v>147</v>
      </c>
      <c r="G61" s="9" t="s">
        <v>27</v>
      </c>
      <c r="H61" s="9">
        <v>29944</v>
      </c>
      <c r="I61" s="9" t="s">
        <v>95</v>
      </c>
      <c r="J61" s="12">
        <v>27534</v>
      </c>
    </row>
    <row r="62" spans="1:10" s="18" customFormat="1" ht="15.75" customHeight="1" x14ac:dyDescent="0.2">
      <c r="A62" s="8">
        <v>50</v>
      </c>
      <c r="B62" s="16" t="s">
        <v>148</v>
      </c>
      <c r="C62" s="49" t="s">
        <v>149</v>
      </c>
      <c r="D62" s="16">
        <v>18836257</v>
      </c>
      <c r="E62" s="16">
        <v>948618844</v>
      </c>
      <c r="F62" s="55" t="s">
        <v>150</v>
      </c>
      <c r="G62" s="16" t="s">
        <v>27</v>
      </c>
      <c r="H62" s="24" t="s">
        <v>151</v>
      </c>
      <c r="I62" s="16" t="s">
        <v>152</v>
      </c>
      <c r="J62" s="12">
        <v>25478</v>
      </c>
    </row>
    <row r="63" spans="1:10" s="18" customFormat="1" x14ac:dyDescent="0.2">
      <c r="A63" s="8">
        <v>51</v>
      </c>
      <c r="B63" s="65" t="s">
        <v>179</v>
      </c>
      <c r="C63" s="68" t="s">
        <v>180</v>
      </c>
      <c r="D63" s="32">
        <v>19037459</v>
      </c>
      <c r="E63" s="32">
        <v>993856184</v>
      </c>
      <c r="F63" s="62" t="s">
        <v>181</v>
      </c>
      <c r="G63" s="32" t="s">
        <v>27</v>
      </c>
      <c r="H63" s="32" t="s">
        <v>101</v>
      </c>
      <c r="I63" s="32" t="s">
        <v>102</v>
      </c>
      <c r="J63" s="33">
        <v>26320</v>
      </c>
    </row>
    <row r="64" spans="1:10" s="18" customFormat="1" x14ac:dyDescent="0.2">
      <c r="A64" s="8">
        <v>52</v>
      </c>
      <c r="B64" s="16" t="s">
        <v>186</v>
      </c>
      <c r="C64" s="19" t="s">
        <v>187</v>
      </c>
      <c r="D64" s="16">
        <v>71410876</v>
      </c>
      <c r="E64" s="16">
        <v>988402299</v>
      </c>
      <c r="F64" s="55" t="s">
        <v>188</v>
      </c>
      <c r="G64" s="16" t="s">
        <v>27</v>
      </c>
      <c r="H64" s="16" t="s">
        <v>174</v>
      </c>
      <c r="I64" s="16" t="s">
        <v>144</v>
      </c>
      <c r="J64" s="17">
        <v>33716</v>
      </c>
    </row>
  </sheetData>
  <mergeCells count="6">
    <mergeCell ref="A43:J43"/>
    <mergeCell ref="C2:C4"/>
    <mergeCell ref="A5:J7"/>
    <mergeCell ref="A9:J9"/>
    <mergeCell ref="A15:J15"/>
    <mergeCell ref="A23:J23"/>
  </mergeCells>
  <hyperlinks>
    <hyperlink ref="C14" r:id="rId1" xr:uid="{61977C22-5CF1-4641-ACDB-CE70D46F0642}"/>
    <hyperlink ref="C17" r:id="rId2" xr:uid="{636C8F83-30C9-44E2-BDBA-AE34D4F63B44}"/>
    <hyperlink ref="C19" r:id="rId3" xr:uid="{CB0DBCDF-0313-4D9B-B038-85F804A1C874}"/>
    <hyperlink ref="C20" r:id="rId4" xr:uid="{2D928E5F-7F92-45E4-9D44-31CD147E3730}"/>
    <hyperlink ref="C58" r:id="rId5" xr:uid="{968A1502-4058-49AA-ADF3-1EF306C1F77D}"/>
    <hyperlink ref="C57" r:id="rId6" xr:uid="{6B0609FE-EE3F-4CB0-8E9C-4961334EFEB8}"/>
    <hyperlink ref="C56" r:id="rId7" xr:uid="{76EA8054-9CF9-49B7-A4DA-E11B6073E858}"/>
    <hyperlink ref="C55" r:id="rId8" xr:uid="{7371D04F-83DB-4DD0-A5AC-3A669F9E27DB}"/>
    <hyperlink ref="C54" r:id="rId9" xr:uid="{F97812C6-35F5-4540-845B-CB37EE2BDAF7}"/>
    <hyperlink ref="C53" r:id="rId10" xr:uid="{30107C91-42E0-4413-B4D1-D7728E5180C2}"/>
    <hyperlink ref="C52" r:id="rId11" xr:uid="{61EFE407-2E1B-463A-A891-CF2C3EF09ADF}"/>
    <hyperlink ref="C51" r:id="rId12" xr:uid="{4BA2A399-1597-4B3A-BC00-30E4357927B2}"/>
    <hyperlink ref="C50" r:id="rId13" xr:uid="{6F145343-3161-4C44-95C0-E299FD46EEDE}"/>
    <hyperlink ref="C48" r:id="rId14" xr:uid="{F959741C-5768-4FE7-86D2-4007261DCAD1}"/>
    <hyperlink ref="C49" r:id="rId15" xr:uid="{CED748FF-E69B-4275-82E5-EA7B7939F61B}"/>
    <hyperlink ref="C47" r:id="rId16" xr:uid="{739F0086-BF3E-4AA3-8951-BE8CDBFB63F1}"/>
    <hyperlink ref="C46" r:id="rId17" xr:uid="{1925ECF2-1211-4450-8E9E-1AE76D024837}"/>
    <hyperlink ref="C45" r:id="rId18" xr:uid="{B654BA70-CA3F-42F8-96D4-5F40B0EF9D0B}"/>
    <hyperlink ref="C59" r:id="rId19" xr:uid="{C7DAF39A-6813-4455-8FAB-3A98A5D3ED43}"/>
    <hyperlink ref="C60" r:id="rId20" xr:uid="{DB6BB59F-FCC0-4E09-9018-3AB2EC3C1684}"/>
    <hyperlink ref="C61" r:id="rId21" xr:uid="{2FDD23B3-1B12-4582-A424-EBA0772F6CB2}"/>
    <hyperlink ref="C62" r:id="rId22" xr:uid="{5BB07506-F07C-49A5-8A16-D51DCC423F68}"/>
    <hyperlink ref="C63" r:id="rId23" xr:uid="{0C6AD819-A610-47AE-A5C8-901E7FAFA45B}"/>
    <hyperlink ref="C11" r:id="rId24" xr:uid="{5DEEEE9C-DA85-4D1D-9E65-FBF4BFDB1A59}"/>
    <hyperlink ref="C12" r:id="rId25" xr:uid="{7DBD6493-47FF-4958-99A7-7E078E3B5FDB}"/>
    <hyperlink ref="C18" r:id="rId26" xr:uid="{B7C4D4C5-6780-40F8-9D22-E83B79EC3992}"/>
    <hyperlink ref="C21" r:id="rId27" xr:uid="{670F19D2-35D5-46B1-BAF3-47197604110F}"/>
    <hyperlink ref="C22" r:id="rId28" xr:uid="{F28C375C-314B-4FD4-9E5E-A7A8CA6C89F5}"/>
    <hyperlink ref="C25" r:id="rId29" xr:uid="{889A4F28-4523-4CE0-B9AF-221A4C9679CC}"/>
    <hyperlink ref="C26" r:id="rId30" xr:uid="{D22C3514-8B47-4098-B47D-BBDB7CB40F3E}"/>
    <hyperlink ref="C27" r:id="rId31" xr:uid="{804928AE-F239-438E-9F7C-8CA82895BA28}"/>
    <hyperlink ref="C28" r:id="rId32" xr:uid="{2464EB5E-D681-4BFE-8D29-34EC2C681FFE}"/>
    <hyperlink ref="C30" r:id="rId33" xr:uid="{4F427701-8520-4A68-85A0-247DA838732C}"/>
    <hyperlink ref="C31" r:id="rId34" xr:uid="{1298A856-F461-4F55-9773-738D99CC8116}"/>
    <hyperlink ref="C32" r:id="rId35" xr:uid="{0528483E-925B-40E4-B9D7-64F4628EF202}"/>
    <hyperlink ref="C33" r:id="rId36" xr:uid="{E5E5E0F8-64BF-413F-AE53-E95D3140DE8D}"/>
    <hyperlink ref="C34" r:id="rId37" xr:uid="{D0AD7232-AB33-4284-8346-3A7A7343801C}"/>
    <hyperlink ref="C35" r:id="rId38" xr:uid="{6B1FE905-F1F9-4EEF-853F-2CA427CC32FA}"/>
    <hyperlink ref="C36" r:id="rId39" xr:uid="{DE07FBF6-8F21-451C-932A-5C74EEBC8B04}"/>
    <hyperlink ref="C37" r:id="rId40" xr:uid="{702EDC78-2B00-4821-AE03-B32CD8B53EA8}"/>
    <hyperlink ref="C38" r:id="rId41" xr:uid="{5EF99C5D-2FD3-4910-8707-FBCB5589AA1C}"/>
    <hyperlink ref="C39" r:id="rId42" xr:uid="{960DE902-3F36-4BA1-BB8D-342948CE21B7}"/>
    <hyperlink ref="C40" r:id="rId43" xr:uid="{E7614A7C-D2DF-4712-ABCD-22E3B7E64B5C}"/>
    <hyperlink ref="C41" r:id="rId44" xr:uid="{17C953B7-53EC-4EA0-8629-76B27E83C8B1}"/>
    <hyperlink ref="C42" r:id="rId45" xr:uid="{F7973012-5696-4457-B047-4C4F58E0B917}"/>
  </hyperlinks>
  <pageMargins left="0.7" right="0.7" top="0.75" bottom="0.75" header="0.3" footer="0.3"/>
  <drawing r:id="rId46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7C468959-A236-4FBD-A75F-C2E20BA32B09}">
            <xm:f>NOT(ISERROR(SEARCH($C$2,A5)))</xm:f>
            <xm:f>$C$2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A5:J65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JUNIOR FERNANDEZ</cp:lastModifiedBy>
  <dcterms:modified xsi:type="dcterms:W3CDTF">2026-09-23T17:14:30Z</dcterms:modified>
</cp:coreProperties>
</file>